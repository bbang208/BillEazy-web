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8"/>
  <workbookPr/>
  <mc:AlternateContent xmlns:mc="http://schemas.openxmlformats.org/markup-compatibility/2006">
    <mc:Choice Requires="x15">
      <x15ac:absPath xmlns:x15ac="http://schemas.microsoft.com/office/spreadsheetml/2010/11/ac" url="/Users/junseo/Downloads/20260629_112637_김혜민(khm@neurolab.kr)_[공지]개인경비청구관련의건(매달3일)/"/>
    </mc:Choice>
  </mc:AlternateContent>
  <xr:revisionPtr revIDLastSave="0" documentId="13_ncr:1_{ED226E05-0892-374A-A3A4-86D2F9FC2CEB}" xr6:coauthVersionLast="47" xr6:coauthVersionMax="47" xr10:uidLastSave="{00000000-0000-0000-0000-000000000000}"/>
  <bookViews>
    <workbookView xWindow="0" yWindow="600" windowWidth="29040" windowHeight="15840" xr2:uid="{00000000-000D-0000-FFFF-FFFF00000000}"/>
  </bookViews>
  <sheets>
    <sheet name="개인경비 사용 명세서" sheetId="1" r:id="rId1"/>
    <sheet name="증빙자료" sheetId="2" r:id="rId2"/>
  </sheets>
  <definedNames>
    <definedName name="_xlnm._FilterDatabase" localSheetId="0" hidden="1">'개인경비 사용 명세서'!$B$9:$H$9</definedName>
    <definedName name="_xlnm.Print_Area" localSheetId="0">'개인경비 사용 명세서'!$A$1:$H$28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2" i="1"/>
  <c r="H20" i="1"/>
  <c r="H25" i="1" l="1"/>
  <c r="H26" i="1"/>
  <c r="H23" i="1" l="1"/>
  <c r="H27" i="1"/>
  <c r="H28" i="1" l="1"/>
  <c r="I49" i="1" s="1"/>
  <c r="H3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<sst xmlns="http://schemas.openxmlformats.org/spreadsheetml/2006/main" count="46" uniqueCount="44">
  <si>
    <t>업무관련 개인경비 사용 명세서</t>
    <phoneticPr fontId="1" type="noConversion"/>
  </si>
  <si>
    <t>적요</t>
    <phoneticPr fontId="1" type="noConversion"/>
  </si>
  <si>
    <t>사용금액</t>
    <phoneticPr fontId="1" type="noConversion"/>
  </si>
  <si>
    <t>비고</t>
    <phoneticPr fontId="1" type="noConversion"/>
  </si>
  <si>
    <t>소계</t>
    <phoneticPr fontId="1" type="noConversion"/>
  </si>
  <si>
    <t>성명</t>
    <phoneticPr fontId="1" type="noConversion"/>
  </si>
  <si>
    <t>작성</t>
    <phoneticPr fontId="1" type="noConversion"/>
  </si>
  <si>
    <t>거래처</t>
    <phoneticPr fontId="1" type="noConversion"/>
  </si>
  <si>
    <t>담당</t>
    <phoneticPr fontId="1" type="noConversion"/>
  </si>
  <si>
    <t>작성일자</t>
    <phoneticPr fontId="1" type="noConversion"/>
  </si>
  <si>
    <t>팀장</t>
    <phoneticPr fontId="1" type="noConversion"/>
  </si>
  <si>
    <t>사용일자</t>
    <phoneticPr fontId="1" type="noConversion"/>
  </si>
  <si>
    <t>사용내역</t>
    <phoneticPr fontId="1" type="noConversion"/>
  </si>
  <si>
    <t>계정과목</t>
    <phoneticPr fontId="1" type="noConversion"/>
  </si>
  <si>
    <t>복리후생비</t>
  </si>
  <si>
    <t>여비교통비</t>
  </si>
  <si>
    <t>접대비</t>
  </si>
  <si>
    <t>소모품비</t>
  </si>
  <si>
    <t>합 계</t>
    <phoneticPr fontId="1" type="noConversion"/>
  </si>
  <si>
    <t>부서명</t>
    <phoneticPr fontId="1" type="noConversion"/>
  </si>
  <si>
    <t>※ 참고 및 유의사항</t>
    <phoneticPr fontId="1" type="noConversion"/>
  </si>
  <si>
    <r>
      <rPr>
        <sz val="11"/>
        <color theme="1"/>
        <rFont val="굴림"/>
        <family val="3"/>
        <charset val="129"/>
      </rPr>
      <t xml:space="preserve">1. </t>
    </r>
    <r>
      <rPr>
        <sz val="11"/>
        <color theme="1"/>
        <rFont val="나눔고딕"/>
        <family val="3"/>
        <charset val="129"/>
      </rPr>
      <t>식대 인당 8,000</t>
    </r>
    <phoneticPr fontId="1" type="noConversion"/>
  </si>
  <si>
    <r>
      <rPr>
        <sz val="11"/>
        <color theme="1"/>
        <rFont val="굴림"/>
        <family val="3"/>
        <charset val="129"/>
      </rPr>
      <t xml:space="preserve">2. </t>
    </r>
    <r>
      <rPr>
        <sz val="11"/>
        <color theme="1"/>
        <rFont val="나눔고딕"/>
        <family val="3"/>
        <charset val="129"/>
      </rPr>
      <t>간이영수증등 기타 현금 지급건 30,000초과시 현금영수증 or 카드 사용</t>
    </r>
    <phoneticPr fontId="1" type="noConversion"/>
  </si>
  <si>
    <t>지급수수료</t>
    <phoneticPr fontId="1" type="noConversion"/>
  </si>
  <si>
    <t>통신비</t>
    <phoneticPr fontId="1" type="noConversion"/>
  </si>
  <si>
    <t>식대,음료대</t>
    <phoneticPr fontId="1" type="noConversion"/>
  </si>
  <si>
    <t>교통비,톨비</t>
    <phoneticPr fontId="1" type="noConversion"/>
  </si>
  <si>
    <t>거래처 접대등</t>
    <phoneticPr fontId="1" type="noConversion"/>
  </si>
  <si>
    <t>우편요금,택배비,화물운반비</t>
    <phoneticPr fontId="1" type="noConversion"/>
  </si>
  <si>
    <t>등기발급수수료및 행정업무 제반비용등</t>
    <phoneticPr fontId="1" type="noConversion"/>
  </si>
  <si>
    <t>소모품구입대</t>
    <phoneticPr fontId="1" type="noConversion"/>
  </si>
  <si>
    <t>연구소</t>
    <phoneticPr fontId="1" type="noConversion"/>
  </si>
  <si>
    <t>방준서</t>
    <phoneticPr fontId="1" type="noConversion"/>
  </si>
  <si>
    <t>(INNOS) TV용 리모컨 + 건전지 외</t>
  </si>
  <si>
    <t>쿠팡페이</t>
  </si>
  <si>
    <t>쇼룸 리모컨 구입</t>
  </si>
  <si>
    <t>항공권</t>
  </si>
  <si>
    <t>중국동방항공 한국지점</t>
  </si>
  <si>
    <t>출장 항공권</t>
  </si>
  <si>
    <t>항공권 수수료/보험료</t>
  </si>
  <si>
    <t>트립닷컴(나이스정보통신)</t>
  </si>
  <si>
    <t>예약 수수료 및 보험료</t>
  </si>
  <si>
    <t>지급수수료</t>
  </si>
  <si>
    <t>지출 기간  2026-06-01~2026-06-30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</si>
</sst>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₩&quot;#,##0_);[Red]\(&quot;₩&quot;#,##0\)"/>
    <numFmt numFmtId="176" formatCode="_-* #,##0_-;\-* #,##0_-;_-* &quot;-&quot;_-;_-@_-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color theme="1"/>
      <name val="나눔고딕"/>
      <family val="3"/>
      <charset val="129"/>
    </font>
    <font>
      <b/>
      <sz val="8"/>
      <color theme="0"/>
      <name val="나눔고딕"/>
      <family val="3"/>
      <charset val="129"/>
    </font>
    <font>
      <b/>
      <sz val="8"/>
      <color theme="0"/>
      <name val="굴림"/>
      <family val="3"/>
      <charset val="129"/>
    </font>
    <font>
      <sz val="11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0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3" fillId="0" borderId="0" applyFon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6" fontId="2" fillId="0" borderId="0" xfId="0" applyNumberFormat="1" applyFont="1">
      <alignment vertical="center"/>
    </xf>
    <xf numFmtId="0" fontId="4" fillId="0" borderId="0" xfId="0" applyFont="1">
      <alignment vertical="center"/>
    </xf>
    <xf numFmtId="6" fontId="4" fillId="0" borderId="0" xfId="0" applyNumberFormat="1" applyFont="1">
      <alignment vertical="center"/>
    </xf>
    <xf numFmtId="0" fontId="5" fillId="2" borderId="2" xfId="0" applyFont="1" applyFill="1" applyBorder="1" applyAlignment="1">
      <alignment horizontal="center" vertical="center"/>
    </xf>
    <xf numFmtId="6" fontId="4" fillId="0" borderId="9" xfId="0" applyNumberFormat="1" applyFont="1" applyBorder="1" applyAlignment="1">
      <alignment horizontal="center" vertical="center"/>
    </xf>
    <xf numFmtId="3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6" fontId="4" fillId="0" borderId="10" xfId="0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4" fillId="0" borderId="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176" fontId="10" fillId="0" borderId="18" xfId="1" applyFont="1" applyFill="1" applyBorder="1" applyAlignment="1">
      <alignment horizontal="right" vertical="center"/>
    </xf>
    <xf numFmtId="6" fontId="11" fillId="0" borderId="16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10" fillId="0" borderId="14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144078</xdr:colOff>
      <xdr:row>45</xdr:row>
      <xdr:rowOff>32084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89CFF96-8AF1-0E2A-1819-3B18FE987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496710" cy="100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245087</xdr:colOff>
      <xdr:row>0</xdr:row>
      <xdr:rowOff>0</xdr:rowOff>
    </xdr:from>
    <xdr:to>
      <xdr:col>21</xdr:col>
      <xdr:colOff>428252</xdr:colOff>
      <xdr:row>45</xdr:row>
      <xdr:rowOff>32084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7AE6C0F-5490-EBB1-09CE-9959D44BF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7719" y="0"/>
          <a:ext cx="6867375" cy="10058400"/>
        </a:xfrm>
        <a:prstGeom prst="rect">
          <a:avLst/>
        </a:prstGeom>
      </xdr:spPr>
    </xdr:pic>
    <xdr:clientData/>
  </xdr:twoCellAnchor>
  <xdr:twoCellAnchor editAs="oneCell">
    <xdr:from>
      <xdr:col>21</xdr:col>
      <xdr:colOff>579299</xdr:colOff>
      <xdr:row>0</xdr:row>
      <xdr:rowOff>0</xdr:rowOff>
    </xdr:from>
    <xdr:to>
      <xdr:col>31</xdr:col>
      <xdr:colOff>667080</xdr:colOff>
      <xdr:row>45</xdr:row>
      <xdr:rowOff>32084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9CFA8B9-3ADA-3A76-CFAF-2BEB0280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16141" y="0"/>
          <a:ext cx="6771992" cy="10058400"/>
        </a:xfrm>
        <a:prstGeom prst="rect">
          <a:avLst/>
        </a:prstGeom>
      </xdr:spPr>
    </xdr:pic>
    <xdr:clientData/>
  </xdr:twoCellAnchor>
  <xdr:twoCellAnchor editAs="oneCell">
    <xdr:from>
      <xdr:col>32</xdr:col>
      <xdr:colOff>155965</xdr:colOff>
      <xdr:row>0</xdr:row>
      <xdr:rowOff>0</xdr:rowOff>
    </xdr:from>
    <xdr:to>
      <xdr:col>40</xdr:col>
      <xdr:colOff>640778</xdr:colOff>
      <xdr:row>45</xdr:row>
      <xdr:rowOff>32084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1645CFD3-2FF0-522B-7D11-C5F664812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545439" y="0"/>
          <a:ext cx="5832181" cy="100584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7D6D6EA-16F7-CD4D-9AC9-6EB7C7AEEA78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6e91ece-82b7-4429-bb16-92a482a6e7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9"/>
  <sheetViews>
    <sheetView showGridLines="0" tabSelected="1" topLeftCell="A3" zoomScale="118" zoomScaleNormal="100" zoomScaleSheetLayoutView="100" workbookViewId="0">
      <selection activeCell="C11" sqref="C11"/>
    </sheetView>
  </sheetViews>
  <sheetFormatPr baseColWidth="10" defaultColWidth="9" defaultRowHeight="15"/>
  <cols>
    <col min="1" max="1" width="2.6640625" style="1" customWidth="1"/>
    <col min="2" max="2" width="16.6640625" style="13" customWidth="1"/>
    <col min="3" max="4" width="16.6640625" style="1" customWidth="1"/>
    <col min="5" max="5" width="45.5" style="1" bestFit="1" customWidth="1"/>
    <col min="6" max="6" width="12.6640625" style="2" customWidth="1"/>
    <col min="7" max="7" width="12.6640625" style="1" customWidth="1"/>
    <col min="8" max="8" width="16" style="1" customWidth="1"/>
    <col min="9" max="9" width="6.33203125" style="1" bestFit="1" customWidth="1"/>
    <col min="10" max="16384" width="9" style="1"/>
  </cols>
  <sheetData>
    <row r="1" spans="1:13">
      <c r="A1" s="3"/>
      <c r="B1" s="8"/>
      <c r="C1" s="3"/>
      <c r="D1" s="3"/>
      <c r="E1" s="3"/>
      <c r="F1" s="4"/>
      <c r="G1" s="3"/>
      <c r="H1" s="3"/>
    </row>
    <row r="2" spans="1:13">
      <c r="A2" s="3"/>
      <c r="B2" s="8" t="s">
        <v>0</v>
      </c>
      <c r="C2" s="8"/>
      <c r="D2" s="8"/>
      <c r="E2" s="8"/>
      <c r="F2" s="8"/>
      <c r="G2" s="8"/>
      <c r="H2" s="8"/>
    </row>
    <row r="3" spans="1:13" ht="16" thickBot="1">
      <c r="A3" s="3"/>
      <c r="B3" s="8"/>
      <c r="C3" s="3"/>
      <c r="D3" s="3"/>
      <c r="E3" s="3"/>
      <c r="F3" s="4"/>
      <c r="G3" s="3"/>
      <c r="H3" s="3"/>
    </row>
    <row r="4" spans="1:13" ht="20" customHeight="1" thickBot="1">
      <c r="A4" s="3"/>
      <c r="B4" s="21" t="s">
        <v>19</v>
      </c>
      <c r="C4" s="5" t="s">
        <v>5</v>
      </c>
      <c r="D4" s="3"/>
      <c r="E4" s="3"/>
      <c r="F4" s="18" t="s">
        <v>6</v>
      </c>
      <c r="G4" s="5" t="s">
        <v>8</v>
      </c>
      <c r="H4" s="5" t="s">
        <v>10</v>
      </c>
    </row>
    <row r="5" spans="1:13" ht="27" customHeight="1" thickTop="1" thickBot="1">
      <c r="A5" s="3"/>
      <c r="B5" s="19" t="s">
        <v>31</v>
      </c>
      <c r="C5" s="19" t="s">
        <v>32</v>
      </c>
      <c r="D5" s="3"/>
      <c r="E5" s="3"/>
      <c r="F5" s="33" t="e" vm="1">
        <v>#VALUE!</v>
      </c>
      <c r="G5" s="11"/>
      <c r="H5" s="11"/>
    </row>
    <row r="6" spans="1:13" ht="17.25" customHeight="1" thickBot="1">
      <c r="A6" s="3"/>
      <c r="B6" s="8"/>
      <c r="C6" s="3"/>
      <c r="D6" s="3"/>
      <c r="E6" s="3"/>
      <c r="F6" s="34"/>
      <c r="G6" s="12"/>
      <c r="H6" s="12"/>
    </row>
    <row r="7" spans="1:13">
      <c r="A7" s="3"/>
      <c r="B7" s="8"/>
      <c r="C7" s="3"/>
      <c r="D7" s="3"/>
      <c r="E7" s="8" t="s">
        <v>43</v>
      </c>
      <c r="F7" s="4"/>
      <c r="G7" s="8"/>
      <c r="H7" s="9"/>
    </row>
    <row r="8" spans="1:13" ht="16" thickBot="1">
      <c r="A8" s="3"/>
      <c r="B8" s="8"/>
      <c r="C8" s="3"/>
      <c r="D8" s="3"/>
      <c r="E8" s="3"/>
      <c r="F8" s="4"/>
      <c r="G8" s="8"/>
      <c r="H8" s="8"/>
    </row>
    <row r="9" spans="1:13" ht="20" customHeight="1" thickBot="1">
      <c r="A9" s="3"/>
      <c r="B9" s="10" t="s">
        <v>11</v>
      </c>
      <c r="C9" s="20" t="s">
        <v>12</v>
      </c>
      <c r="D9" s="10" t="s">
        <v>7</v>
      </c>
      <c r="E9" s="5" t="s">
        <v>1</v>
      </c>
      <c r="F9" s="18" t="s">
        <v>2</v>
      </c>
      <c r="G9" s="21" t="s">
        <v>13</v>
      </c>
      <c r="H9" s="27" t="s">
        <v>3</v>
      </c>
    </row>
    <row r="10" spans="1:13" ht="26.25" customHeight="1" thickTop="1">
      <c r="A10" s="3"/>
      <c r="B10" s="25">
        <v>46202</v>
      </c>
      <c r="C10" s="14" t="s">
        <v>33</v>
      </c>
      <c r="D10" s="14" t="s">
        <v>34</v>
      </c>
      <c r="E10" s="26" t="s">
        <v>35</v>
      </c>
      <c r="F10" s="17">
        <v>15000</v>
      </c>
      <c r="G10" s="6" t="s">
        <v>17</v>
      </c>
      <c r="H10" s="28"/>
    </row>
    <row r="11" spans="1:13" ht="26.25" customHeight="1">
      <c r="A11" s="3"/>
      <c r="B11" s="25">
        <v>46189</v>
      </c>
      <c r="C11" s="14" t="s">
        <v>36</v>
      </c>
      <c r="D11" s="14" t="s">
        <v>37</v>
      </c>
      <c r="E11" s="26" t="s">
        <v>38</v>
      </c>
      <c r="F11" s="17">
        <v>693400</v>
      </c>
      <c r="G11" s="6" t="s">
        <v>15</v>
      </c>
      <c r="H11" s="28"/>
      <c r="M11"/>
    </row>
    <row r="12" spans="1:13" ht="26.25" customHeight="1">
      <c r="A12" s="3"/>
      <c r="B12" s="25">
        <v>46189</v>
      </c>
      <c r="C12" s="14" t="s">
        <v>39</v>
      </c>
      <c r="D12" s="14" t="s">
        <v>40</v>
      </c>
      <c r="E12" s="26" t="s">
        <v>41</v>
      </c>
      <c r="F12" s="17">
        <v>18896</v>
      </c>
      <c r="G12" s="6" t="s">
        <v>42</v>
      </c>
      <c r="H12" s="28"/>
      <c r="M12"/>
    </row>
    <row r="13" spans="1:13" ht="26.25" customHeight="1">
      <c r="A13" s="3"/>
      <c r="B13" s="25"/>
      <c r="C13" s="14"/>
      <c r="D13" s="14"/>
      <c r="E13" s="26"/>
      <c r="F13" s="17"/>
      <c r="G13" s="6"/>
      <c r="H13" s="28"/>
      <c r="M13"/>
    </row>
    <row r="14" spans="1:13" ht="26.25" customHeight="1">
      <c r="A14" s="3"/>
      <c r="B14" s="25"/>
      <c r="C14" s="14"/>
      <c r="D14" s="14"/>
      <c r="E14" s="26"/>
      <c r="F14" s="17"/>
      <c r="G14" s="6"/>
      <c r="H14" s="28"/>
      <c r="M14"/>
    </row>
    <row r="15" spans="1:13" ht="26.25" customHeight="1" thickBot="1">
      <c r="A15" s="3"/>
      <c r="B15" s="25"/>
      <c r="C15" s="14"/>
      <c r="D15" s="14"/>
      <c r="E15" s="26"/>
      <c r="F15" s="17"/>
      <c r="G15" s="6"/>
      <c r="H15" s="28"/>
      <c r="M15"/>
    </row>
    <row r="16" spans="1:13" ht="26.25" customHeight="1">
      <c r="A16" s="3"/>
      <c r="B16" s="25"/>
      <c r="C16" s="14"/>
      <c r="D16" s="14"/>
      <c r="E16" s="26"/>
      <c r="F16" s="17"/>
      <c r="G16" s="6"/>
      <c r="H16" s="28"/>
      <c r="M16"/>
    </row>
    <row r="17" spans="1:13" ht="26.25" customHeight="1">
      <c r="A17" s="3"/>
      <c r="B17" s="25"/>
      <c r="C17" s="14"/>
      <c r="D17" s="14"/>
      <c r="E17" s="26"/>
      <c r="F17" s="17"/>
      <c r="G17" s="6"/>
      <c r="H17" s="28"/>
      <c r="M17"/>
    </row>
    <row r="18" spans="1:13" ht="26.25" customHeight="1">
      <c r="A18" s="3"/>
      <c r="B18" s="25"/>
      <c r="C18" s="14"/>
      <c r="D18" s="14"/>
      <c r="E18" s="26"/>
      <c r="F18" s="17"/>
      <c r="G18" s="6"/>
      <c r="H18" s="28"/>
      <c r="M18"/>
    </row>
    <row r="19" spans="1:13" ht="26.25" customHeight="1" thickBot="1">
      <c r="A19" s="3"/>
      <c r="B19" s="25"/>
      <c r="C19" s="14"/>
      <c r="D19" s="14"/>
      <c r="E19" s="26"/>
      <c r="F19" s="17"/>
      <c r="G19" s="6"/>
      <c r="H19" s="28"/>
      <c r="M19"/>
    </row>
    <row r="20" spans="1:13" ht="26.25" customHeight="1" thickBot="1">
      <c r="A20" s="3"/>
      <c r="B20" s="15" t="s">
        <v>4</v>
      </c>
      <c r="C20" s="16"/>
      <c r="D20" s="16"/>
      <c r="E20" s="16"/>
      <c r="F20" s="16"/>
      <c r="G20" s="16"/>
      <c r="H20" s="29">
        <f>SUM(F10:F19)</f>
        <v>727296</v>
      </c>
    </row>
    <row r="21" spans="1:13">
      <c r="A21" s="3"/>
      <c r="B21" s="8"/>
      <c r="C21" s="8"/>
      <c r="D21" s="8"/>
      <c r="E21" s="3"/>
      <c r="F21" s="8"/>
      <c r="G21" s="8"/>
      <c r="H21" s="30"/>
    </row>
    <row r="22" spans="1:13">
      <c r="A22" s="3"/>
      <c r="B22" s="8"/>
      <c r="C22" s="8"/>
      <c r="D22" s="8"/>
      <c r="E22" s="3"/>
      <c r="F22" s="8"/>
      <c r="G22" s="8" t="s">
        <v>14</v>
      </c>
      <c r="H22" s="31">
        <f t="shared" ref="H22:H27" si="0">SUMIF($G$10:$G$19,$G22,$F$10:$F$19)</f>
        <v>0</v>
      </c>
      <c r="I22" s="1" t="s">
        <v>25</v>
      </c>
    </row>
    <row r="23" spans="1:13">
      <c r="A23" s="3"/>
      <c r="B23" s="8"/>
      <c r="C23" s="8"/>
      <c r="D23" s="8"/>
      <c r="E23" s="3"/>
      <c r="F23" s="8"/>
      <c r="G23" s="8" t="s">
        <v>15</v>
      </c>
      <c r="H23" s="31">
        <f t="shared" si="0"/>
        <v>693400</v>
      </c>
      <c r="I23" s="1" t="s">
        <v>26</v>
      </c>
    </row>
    <row r="24" spans="1:13">
      <c r="A24" s="3"/>
      <c r="B24" s="8"/>
      <c r="C24" s="8"/>
      <c r="D24" s="8"/>
      <c r="E24" s="3"/>
      <c r="F24" s="8"/>
      <c r="G24" s="8" t="s">
        <v>16</v>
      </c>
      <c r="H24" s="31">
        <f t="shared" si="0"/>
        <v>0</v>
      </c>
      <c r="I24" s="1" t="s">
        <v>27</v>
      </c>
    </row>
    <row r="25" spans="1:13">
      <c r="A25" s="3"/>
      <c r="B25" s="8"/>
      <c r="C25" s="8"/>
      <c r="D25" s="8"/>
      <c r="E25" s="3"/>
      <c r="F25" s="8"/>
      <c r="G25" s="8" t="s">
        <v>24</v>
      </c>
      <c r="H25" s="31">
        <f t="shared" si="0"/>
        <v>0</v>
      </c>
      <c r="I25" s="1" t="s">
        <v>28</v>
      </c>
    </row>
    <row r="26" spans="1:13">
      <c r="A26" s="3"/>
      <c r="B26" s="8"/>
      <c r="C26" s="8"/>
      <c r="D26" s="8"/>
      <c r="E26" s="3"/>
      <c r="F26" s="8"/>
      <c r="G26" s="8" t="s">
        <v>23</v>
      </c>
      <c r="H26" s="31">
        <f t="shared" si="0"/>
        <v>18896</v>
      </c>
      <c r="I26" s="1" t="s">
        <v>29</v>
      </c>
    </row>
    <row r="27" spans="1:13">
      <c r="A27" s="3"/>
      <c r="B27" s="8"/>
      <c r="C27" s="8"/>
      <c r="D27" s="8"/>
      <c r="E27" s="3"/>
      <c r="F27" s="8"/>
      <c r="G27" s="8" t="s">
        <v>17</v>
      </c>
      <c r="H27" s="31">
        <f t="shared" si="0"/>
        <v>15000</v>
      </c>
      <c r="I27" s="1" t="s">
        <v>30</v>
      </c>
    </row>
    <row r="28" spans="1:13" ht="16" thickBot="1">
      <c r="A28" s="3"/>
      <c r="B28" s="8"/>
      <c r="C28" s="8"/>
      <c r="D28" s="8"/>
      <c r="E28" s="3"/>
      <c r="F28" s="8"/>
      <c r="G28" s="22" t="s">
        <v>18</v>
      </c>
      <c r="H28" s="32">
        <f>SUM(H22:H27)</f>
        <v>727296</v>
      </c>
    </row>
    <row r="29" spans="1:13" ht="16" thickTop="1">
      <c r="A29" s="3"/>
      <c r="B29" s="8"/>
      <c r="C29" s="8"/>
      <c r="D29" s="8"/>
      <c r="E29" s="3"/>
      <c r="F29" s="8"/>
      <c r="G29" s="8"/>
      <c r="H29" s="8"/>
    </row>
    <row r="30" spans="1:13">
      <c r="A30" s="3"/>
      <c r="B30" s="8"/>
      <c r="C30" s="3"/>
      <c r="D30" s="3"/>
      <c r="E30" s="3"/>
      <c r="F30" s="8"/>
      <c r="G30" s="3" t="s">
        <v>9</v>
      </c>
      <c r="H30" s="7">
        <f ca="1">TODAY()</f>
        <v>46206</v>
      </c>
    </row>
    <row r="31" spans="1:13" hidden="1">
      <c r="A31" s="3"/>
      <c r="C31" s="13"/>
      <c r="D31" s="13"/>
      <c r="F31" s="13"/>
      <c r="G31" s="13"/>
      <c r="H31" s="13"/>
    </row>
    <row r="32" spans="1:13" hidden="1">
      <c r="A32" s="3"/>
      <c r="C32" s="13"/>
      <c r="D32" s="13"/>
      <c r="F32" s="13"/>
      <c r="G32" s="13"/>
      <c r="H32" s="13"/>
    </row>
    <row r="33" spans="1:2" hidden="1"/>
    <row r="34" spans="1:2" hidden="1">
      <c r="B34" s="13" t="s">
        <v>21</v>
      </c>
    </row>
    <row r="35" spans="1:2" hidden="1">
      <c r="A35" s="24" t="s">
        <v>20</v>
      </c>
      <c r="B35" s="23" t="s">
        <v>22</v>
      </c>
    </row>
    <row r="36" spans="1:2" hidden="1"/>
    <row r="37" spans="1:2" hidden="1"/>
    <row r="38" spans="1:2" hidden="1"/>
    <row r="39" spans="1:2" hidden="1"/>
    <row r="40" spans="1:2" hidden="1"/>
    <row r="49" spans="9:9">
      <c r="I49" s="1" t="b">
        <f>H28=H20</f>
        <v>1</v>
      </c>
    </row>
  </sheetData>
  <autoFilter ref="B9:H9" xr:uid="{00000000-0009-0000-0000-000000000000}">
    <filterColumn colId="3" showButton="0"/>
    <filterColumn colId="4" showButton="0"/>
    <sortState xmlns:xlrd2="http://schemas.microsoft.com/office/spreadsheetml/2017/richdata2" ref="B10:I19">
      <sortCondition ref="B9:B15"/>
    </sortState>
  </autoFilter>
  <sortState xmlns:xlrd2="http://schemas.microsoft.com/office/spreadsheetml/2017/richdata2" ref="B10:G37">
    <sortCondition ref="B10"/>
  </sortState>
  <mergeCells count="1">
    <mergeCell ref="F5:F6"/>
  </mergeCells>
  <phoneticPr fontId="1" type="noConversion"/>
  <dataValidations count="1">
    <dataValidation type="list" allowBlank="1" showInputMessage="1" showErrorMessage="1" sqref="G10:G19" xr:uid="{0DC3AA4B-419D-8F44-AB22-EB934B42A692}">
      <formula1>$G$22:$G$27</formula1>
    </dataValidation>
  </dataValidations>
  <printOptions horizontalCentered="1" verticalCentered="1"/>
  <pageMargins left="0" right="0" top="0" bottom="0" header="0" footer="0"/>
  <pageSetup paperSize="9" scale="9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P15" zoomScaleNormal="100" workbookViewId="0">
      <selection activeCell="Z30" sqref="Z30"/>
    </sheetView>
  </sheetViews>
  <sheetFormatPr baseColWidth="10" defaultColWidth="8.83203125" defaultRowHeight="17"/>
  <sheetData/>
  <phoneticPr fontId="1" type="noConversion"/>
  <pageMargins left="0.7" right="0.7" top="0.75" bottom="0.75" header="0.3" footer="0.3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개인경비 사용 명세서</vt:lpstr>
      <vt:lpstr>증빙자료</vt:lpstr>
      <vt:lpstr>'개인경비 사용 명세서'!Print_Area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방준서</cp:lastModifiedBy>
  <cp:lastPrinted>2025-07-31T10:24:31Z</cp:lastPrinted>
  <dcterms:created xsi:type="dcterms:W3CDTF">2020-04-02T04:39:09Z</dcterms:created>
  <dcterms:modified xsi:type="dcterms:W3CDTF">2026-07-03T02:01:30Z</dcterms:modified>
</cp:coreProperties>
</file>